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60aa3db3b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19af60339a7449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172033"/>
      <x:name val="Arial"/>
    </x:font>
    <x:font>
      <x:b/>
      <x:sz val="10"/>
      <x:color rgb="FF253247"/>
      <x:name val="Arial"/>
    </x:font>
    <x:font>
      <x:i/>
      <x:sz val="10"/>
      <x:color rgb="FF526079"/>
      <x:name val="Arial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9EEF5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AAB7C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256029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C0006"/>
      </x:font>
      <x:fill>
        <x:patternFill patternType="solid">
          <x:bgColor rgb="FFFCE1E1"/>
        </x:patternFill>
      </x:fill>
    </x:dxf>
    <x:dxf>
      <x:font>
        <x:b/>
        <x:color rgb="FF7F60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237f1646f4057" /><Relationship Type="http://schemas.openxmlformats.org/officeDocument/2006/relationships/theme" Target="/xl/theme/theme1.xml" Id="Rc63a32de0ce74ab1" /><Relationship Type="http://schemas.openxmlformats.org/officeDocument/2006/relationships/sharedStrings" Target="/xl/sharedStrings.xml" Id="R2b332afbe9fb4a82" /><Relationship Type="http://schemas.openxmlformats.org/officeDocument/2006/relationships/worksheet" Target="/xl/worksheets/sheet1.xml" Id="R19af60339a7449aa" /></Relationships>
</file>

<file path=xl/tables/table1.xml><?xml version="1.0" encoding="utf-8"?>
<x:table xmlns:x="http://schemas.openxmlformats.org/spreadsheetml/2006/main" id="1" name="MvpBacklogTable" displayName="MvpBacklogTable" ref="A7:K47" headerRowCount="1" totalsRowCount="0" totalsRowShown="0">
  <x:autoFilter ref="A7:K47"/>
  <x:tableColumns count="11">
    <x:tableColumn id="1" name="ID"/>
    <x:tableColumn id="2" name="Milestone"/>
    <x:tableColumn id="3" name="Epic"/>
    <x:tableColumn id="4" name="Task"/>
    <x:tableColumn id="5" name="Priority"/>
    <x:tableColumn id="6" name="Complexity"/>
    <x:tableColumn id="7" name="Depends On"/>
    <x:tableColumn id="8" name="Suggested Role"/>
    <x:tableColumn id="9" name="Owner"/>
    <x:tableColumn id="10" name="Status"/>
    <x:tableColumn id="11" name="Acceptance Criter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8916301c784470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42" hidden="0" customWidth="1"/>
    <x:col min="5" max="5" width="10" hidden="0" customWidth="1"/>
    <x:col min="6" max="6" width="11" hidden="0" customWidth="1"/>
    <x:col min="7" max="7" width="24" hidden="0" customWidth="1"/>
    <x:col min="8" max="8" width="20" hidden="0" customWidth="1"/>
    <x:col min="9" max="9" width="18" hidden="0" customWidth="1"/>
    <x:col min="10" max="10" width="15" hidden="0" customWidth="1"/>
    <x:col min="11" max="11" width="58" hidden="0" customWidth="1"/>
  </x:cols>
  <x:sheetData>
    <x:row r="2" ht="24" customHeight="1">
      <x:c r="A2" s="2" t="str">
        <x:v>SER594 Dungeon MVP Development Backlog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4" t="str">
        <x:v>Total Tasks</x:v>
      </x:c>
      <x:c r="B3" s="6" t="n">
        <x:f>COUNTA(A8:A47)</x:f>
        <x:v>40</x:v>
      </x:c>
      <x:c r="C3" s="4" t="str">
        <x:v>Not Started</x:v>
      </x:c>
      <x:c r="D3" s="4" t="n">
        <x:f>COUNTIF(J8:J47,"Not Started")</x:f>
        <x:v>40</x:v>
      </x:c>
      <x:c r="E3" s="4" t="str">
        <x:v>In Progress</x:v>
      </x:c>
      <x:c r="F3" s="4" t="n">
        <x:f>COUNTIF(J8:J47,"In Progress")</x:f>
        <x:v>0</x:v>
      </x:c>
      <x:c r="G3" s="4" t="str">
        <x:v>Done</x:v>
      </x:c>
      <x:c r="H3" s="4" t="n">
        <x:f>COUNTIF(J8:J47,"Done")</x:f>
        <x:v>0</x:v>
      </x:c>
      <x:c r="I3" s="4" t="str">
        <x:v>Blocked</x:v>
      </x:c>
      <x:c r="J3" s="4" t="n">
        <x:f>COUNTIF(J8:J47,"Blocked")</x:f>
        <x:v>0</x:v>
      </x:c>
      <x:c r="K3" s="5" t="n">
        <x:f>IF(B3=0,0,H3/B3)</x:f>
        <x:v>0</x:v>
      </x:c>
    </x:row>
    <x:row r="4" ht="24" customHeight="1"/>
    <x:row r="5" ht="24" customHeight="1">
      <x:c r="A5" s="7" t="str">
        <x:v>Planning basis: MVP Game Design and Requirements Specification v1.0. Owners and schedules are team inputs.</x:v>
      </x:c>
    </x:row>
    <x:row r="7" ht="42" customHeight="1">
      <x:c r="A7" s="10" t="str">
        <x:v>ID</x:v>
      </x:c>
      <x:c r="B7" s="10" t="str">
        <x:v>Milestone</x:v>
      </x:c>
      <x:c r="C7" s="10" t="str">
        <x:v>Epic</x:v>
      </x:c>
      <x:c r="D7" s="10" t="str">
        <x:v>Task</x:v>
      </x:c>
      <x:c r="E7" s="10" t="str">
        <x:v>Priority</x:v>
      </x:c>
      <x:c r="F7" s="10" t="str">
        <x:v>Complexity</x:v>
      </x:c>
      <x:c r="G7" s="10" t="str">
        <x:v>Depends On</x:v>
      </x:c>
      <x:c r="H7" s="10" t="str">
        <x:v>Suggested Role</x:v>
      </x:c>
      <x:c r="I7" s="10" t="str">
        <x:v>Owner</x:v>
      </x:c>
      <x:c r="J7" s="10" t="str">
        <x:v>Status</x:v>
      </x:c>
      <x:c r="K7" s="10" t="str">
        <x:v>Acceptance Criteria</x:v>
      </x:c>
    </x:row>
    <x:row r="8" ht="42" customHeight="1">
      <x:c r="A8" s="13" t="str">
        <x:v>SET-01</x:v>
      </x:c>
      <x:c r="B8" s="13" t="str">
        <x:v>M0 Foundation</x:v>
      </x:c>
      <x:c r="C8" s="13" t="str">
        <x:v>Project Setup</x:v>
      </x:c>
      <x:c r="D8" s="14" t="str">
        <x:v>Confirm the team input policy and keep Both input backends enabled during migration.</x:v>
      </x:c>
      <x:c r="E8" s="16" t="str">
        <x:v>P0</x:v>
      </x:c>
      <x:c r="F8" s="16" t="str">
        <x:v>S</x:v>
      </x:c>
      <x:c r="G8" s="14" t="str"/>
      <x:c r="H8" s="14" t="str">
        <x:v>Tech Lead</x:v>
      </x:c>
      <x:c r="I8" s="15" t="str"/>
      <x:c r="J8" s="17" t="str">
        <x:v>Not Started</x:v>
      </x:c>
      <x:c r="K8" s="14" t="str">
        <x:v>The policy is documented and all team members use the same project setting.</x:v>
      </x:c>
    </x:row>
    <x:row r="9" ht="42" customHeight="1">
      <x:c r="A9" s="13" t="str">
        <x:v>SET-02</x:v>
      </x:c>
      <x:c r="B9" s="13" t="str">
        <x:v>M0 Foundation</x:v>
      </x:c>
      <x:c r="C9" s="13" t="str">
        <x:v>Project Setup</x:v>
      </x:c>
      <x:c r="D9" s="14" t="str">
        <x:v>Create the Assets/_Game folder structure without moving existing prototype assets.</x:v>
      </x:c>
      <x:c r="E9" s="16" t="str">
        <x:v>P0</x:v>
      </x:c>
      <x:c r="F9" s="16" t="str">
        <x:v>S</x:v>
      </x:c>
      <x:c r="G9" s="14" t="str">
        <x:v>SET-01</x:v>
      </x:c>
      <x:c r="H9" s="14" t="str">
        <x:v>Tech Lead</x:v>
      </x:c>
      <x:c r="I9" s="15" t="str"/>
      <x:c r="J9" s="17" t="str">
        <x:v>Not Started</x:v>
      </x:c>
      <x:c r="K9" s="14" t="str">
        <x:v>The agreed folders exist and the current SampleScene still opens without missing references.</x:v>
      </x:c>
    </x:row>
    <x:row r="10" ht="42" customHeight="1">
      <x:c r="A10" s="13" t="str">
        <x:v>SET-03</x:v>
      </x:c>
      <x:c r="B10" s="13" t="str">
        <x:v>M0 Foundation</x:v>
      </x:c>
      <x:c r="C10" s="13" t="str">
        <x:v>Scenes</x:v>
      </x:c>
      <x:c r="D10" s="14" t="str">
        <x:v>Create Bootstrap, MainMenu, RouteMap, Combat, and RunComplete scenes.</x:v>
      </x:c>
      <x:c r="E10" s="16" t="str">
        <x:v>P0</x:v>
      </x:c>
      <x:c r="F10" s="16" t="str">
        <x:v>M</x:v>
      </x:c>
      <x:c r="G10" s="14" t="str">
        <x:v>SET-02</x:v>
      </x:c>
      <x:c r="H10" s="14" t="str">
        <x:v>Unity Generalist</x:v>
      </x:c>
      <x:c r="I10" s="15" t="str"/>
      <x:c r="J10" s="17" t="str">
        <x:v>Not Started</x:v>
      </x:c>
      <x:c r="K10" s="14" t="str">
        <x:v>All planned scenes open and appear in Build Settings in the approved order.</x:v>
      </x:c>
    </x:row>
    <x:row r="11" ht="42" customHeight="1">
      <x:c r="A11" s="13" t="str">
        <x:v>SET-04</x:v>
      </x:c>
      <x:c r="B11" s="13" t="str">
        <x:v>M0 Foundation</x:v>
      </x:c>
      <x:c r="C11" s="13" t="str">
        <x:v>Core State</x:v>
      </x:c>
      <x:c r="D11" s="14" t="str">
        <x:v>Implement GameSession and the mutable RunState and PlayerRunState models.</x:v>
      </x:c>
      <x:c r="E11" s="16" t="str">
        <x:v>P0</x:v>
      </x:c>
      <x:c r="F11" s="16" t="str">
        <x:v>M</x:v>
      </x:c>
      <x:c r="G11" s="14" t="str">
        <x:v>SET-02</x:v>
      </x:c>
      <x:c r="H11" s="14" t="str">
        <x:v>Systems</x:v>
      </x:c>
      <x:c r="I11" s="15" t="str"/>
      <x:c r="J11" s="17" t="str">
        <x:v>Not Started</x:v>
      </x:c>
      <x:c r="K11" s="14" t="str">
        <x:v>One authoritative run state survives scene changes and initializes with the approved values.</x:v>
      </x:c>
    </x:row>
    <x:row r="12" ht="42" customHeight="1">
      <x:c r="A12" s="13" t="str">
        <x:v>SET-05</x:v>
      </x:c>
      <x:c r="B12" s="13" t="str">
        <x:v>M0 Foundation</x:v>
      </x:c>
      <x:c r="C12" s="13" t="str">
        <x:v>Scene Flow</x:v>
      </x:c>
      <x:c r="D12" s="14" t="str">
        <x:v>Implement valid scene transitions through a SceneFlowService.</x:v>
      </x:c>
      <x:c r="E12" s="16" t="str">
        <x:v>P0</x:v>
      </x:c>
      <x:c r="F12" s="16" t="str">
        <x:v>M</x:v>
      </x:c>
      <x:c r="G12" s="14" t="str">
        <x:v>SET-03, SET-04</x:v>
      </x:c>
      <x:c r="H12" s="14" t="str">
        <x:v>Systems</x:v>
      </x:c>
      <x:c r="I12" s="15" t="str"/>
      <x:c r="J12" s="17" t="str">
        <x:v>Not Started</x:v>
      </x:c>
      <x:c r="K12" s="14" t="str">
        <x:v>The application can move from Bootstrap to MainMenu and start a clean run without duplicate services.</x:v>
      </x:c>
    </x:row>
    <x:row r="13" ht="42" customHeight="1">
      <x:c r="A13" s="13" t="str">
        <x:v>DATA-01</x:v>
      </x:c>
      <x:c r="B13" s="13" t="str">
        <x:v>M0 Foundation</x:v>
      </x:c>
      <x:c r="C13" s="13" t="str">
        <x:v>Data</x:v>
      </x:c>
      <x:c r="D13" s="14" t="str">
        <x:v>Define player, enemy, boss, potion, and weapon data structures.</x:v>
      </x:c>
      <x:c r="E13" s="16" t="str">
        <x:v>P0</x:v>
      </x:c>
      <x:c r="F13" s="16" t="str">
        <x:v>M</x:v>
      </x:c>
      <x:c r="G13" s="14" t="str">
        <x:v>SET-04</x:v>
      </x:c>
      <x:c r="H13" s="14" t="str">
        <x:v>Systems</x:v>
      </x:c>
      <x:c r="I13" s="15" t="str"/>
      <x:c r="J13" s="17" t="str">
        <x:v>Not Started</x:v>
      </x:c>
      <x:c r="K13" s="14" t="str">
        <x:v>All approved MVP values are represented once and can be read by runtime systems.</x:v>
      </x:c>
    </x:row>
    <x:row r="14" ht="42" customHeight="1">
      <x:c r="A14" s="13" t="str">
        <x:v>DATA-02</x:v>
      </x:c>
      <x:c r="B14" s="13" t="str">
        <x:v>M0 Foundation</x:v>
      </x:c>
      <x:c r="C14" s="13" t="str">
        <x:v>Data</x:v>
      </x:c>
      <x:c r="D14" s="14" t="str">
        <x:v>Create static definitions or configuration assets for enemies, items, events, and combat.</x:v>
      </x:c>
      <x:c r="E14" s="16" t="str">
        <x:v>P1</x:v>
      </x:c>
      <x:c r="F14" s="16" t="str">
        <x:v>M</x:v>
      </x:c>
      <x:c r="G14" s="14" t="str">
        <x:v>DATA-01</x:v>
      </x:c>
      <x:c r="H14" s="14" t="str">
        <x:v>Systems</x:v>
      </x:c>
      <x:c r="I14" s="15" t="str"/>
      <x:c r="J14" s="17" t="str">
        <x:v>Not Started</x:v>
      </x:c>
      <x:c r="K14" s="14" t="str">
        <x:v>Design values can be edited without changing unrelated runtime logic.</x:v>
      </x:c>
    </x:row>
    <x:row r="15" ht="42" customHeight="1">
      <x:c r="A15" s="13" t="str">
        <x:v>FLOW-01</x:v>
      </x:c>
      <x:c r="B15" s="13" t="str">
        <x:v>M1 Game Flow</x:v>
      </x:c>
      <x:c r="C15" s="13" t="str">
        <x:v>Stage Flow</x:v>
      </x:c>
      <x:c r="D15" s="14" t="str">
        <x:v>Implement StageGenerator for Stage 1-1, Stages 1-2 to 1-4, and Stage 1-5.</x:v>
      </x:c>
      <x:c r="E15" s="16" t="str">
        <x:v>P0</x:v>
      </x:c>
      <x:c r="F15" s="16" t="str">
        <x:v>M</x:v>
      </x:c>
      <x:c r="G15" s="14" t="str">
        <x:v>SET-04</x:v>
      </x:c>
      <x:c r="H15" s="14" t="str">
        <x:v>Systems</x:v>
      </x:c>
      <x:c r="I15" s="15" t="str"/>
      <x:c r="J15" s="17" t="str">
        <x:v>Not Started</x:v>
      </x:c>
      <x:c r="K15" s="14" t="str">
        <x:v>Generated choices follow fixed-stage, exclusion, distinct-choice, and combat-repeat rules.</x:v>
      </x:c>
    </x:row>
    <x:row r="16" ht="42" customHeight="1">
      <x:c r="A16" s="13" t="str">
        <x:v>FLOW-02</x:v>
      </x:c>
      <x:c r="B16" s="13" t="str">
        <x:v>M1 Game Flow</x:v>
      </x:c>
      <x:c r="C16" s="13" t="str">
        <x:v>Route UI</x:v>
      </x:c>
      <x:c r="D16" s="14" t="str">
        <x:v>Build the route-selection screen and connect node buttons to the active run.</x:v>
      </x:c>
      <x:c r="E16" s="16" t="str">
        <x:v>P0</x:v>
      </x:c>
      <x:c r="F16" s="16" t="str">
        <x:v>M</x:v>
      </x:c>
      <x:c r="G16" s="14" t="str">
        <x:v>FLOW-01, SET-05</x:v>
      </x:c>
      <x:c r="H16" s="14" t="str">
        <x:v>UI</x:v>
      </x:c>
      <x:c r="I16" s="15" t="str"/>
      <x:c r="J16" s="17" t="str">
        <x:v>Not Started</x:v>
      </x:c>
      <x:c r="K16" s="14" t="str">
        <x:v>The screen displays the correct number and type of choices and records one legal selection.</x:v>
      </x:c>
    </x:row>
    <x:row r="17" ht="42" customHeight="1">
      <x:c r="A17" s="13" t="str">
        <x:v>FLOW-03</x:v>
      </x:c>
      <x:c r="B17" s="13" t="str">
        <x:v>M1 Game Flow</x:v>
      </x:c>
      <x:c r="C17" s="13" t="str">
        <x:v>Run Lifecycle</x:v>
      </x:c>
      <x:c r="D17" s="14" t="str">
        <x:v>Implement new-run initialization, run abandonment, and return-to-menu reset.</x:v>
      </x:c>
      <x:c r="E17" s="16" t="str">
        <x:v>P0</x:v>
      </x:c>
      <x:c r="F17" s="16" t="str">
        <x:v>M</x:v>
      </x:c>
      <x:c r="G17" s="14" t="str">
        <x:v>SET-04, SET-05</x:v>
      </x:c>
      <x:c r="H17" s="14" t="str">
        <x:v>Systems</x:v>
      </x:c>
      <x:c r="I17" s="15" t="str"/>
      <x:c r="J17" s="17" t="str">
        <x:v>Not Started</x:v>
      </x:c>
      <x:c r="K17" s="14" t="str">
        <x:v>Starting or abandoning a run produces a clean state with no values from the prior run.</x:v>
      </x:c>
    </x:row>
    <x:row r="18" ht="42" customHeight="1">
      <x:c r="A18" s="13" t="str">
        <x:v>HEX-01</x:v>
      </x:c>
      <x:c r="B18" s="13" t="str">
        <x:v>M2 Hex Grid</x:v>
      </x:c>
      <x:c r="C18" s="13" t="str">
        <x:v>Hex Math</x:v>
      </x:c>
      <x:c r="D18" s="14" t="str">
        <x:v>Implement axial hex coordinates, equality, neighbors, and distance.</x:v>
      </x:c>
      <x:c r="E18" s="16" t="str">
        <x:v>P0</x:v>
      </x:c>
      <x:c r="F18" s="16" t="str">
        <x:v>M</x:v>
      </x:c>
      <x:c r="G18" s="14" t="str">
        <x:v>SET-02</x:v>
      </x:c>
      <x:c r="H18" s="14" t="str">
        <x:v>Combat Systems</x:v>
      </x:c>
      <x:c r="I18" s="15" t="str"/>
      <x:c r="J18" s="17" t="str">
        <x:v>Not Started</x:v>
      </x:c>
      <x:c r="K18" s="14" t="str">
        <x:v>Hex coordinate operations return correct deterministic results in EditMode tests.</x:v>
      </x:c>
    </x:row>
    <x:row r="19" ht="42" customHeight="1">
      <x:c r="A19" s="13" t="str">
        <x:v>HEX-02</x:v>
      </x:c>
      <x:c r="B19" s="13" t="str">
        <x:v>M2 Hex Grid</x:v>
      </x:c>
      <x:c r="C19" s="13" t="str">
        <x:v>Board Generation</x:v>
      </x:c>
      <x:c r="D19" s="14" t="str">
        <x:v>Generate the pointy-topped radius-3 combat board.</x:v>
      </x:c>
      <x:c r="E19" s="16" t="str">
        <x:v>P0</x:v>
      </x:c>
      <x:c r="F19" s="16" t="str">
        <x:v>M</x:v>
      </x:c>
      <x:c r="G19" s="14" t="str">
        <x:v>HEX-01</x:v>
      </x:c>
      <x:c r="H19" s="14" t="str">
        <x:v>Combat Systems</x:v>
      </x:c>
      <x:c r="I19" s="15" t="str"/>
      <x:c r="J19" s="17" t="str">
        <x:v>Not Started</x:v>
      </x:c>
      <x:c r="K19" s="14" t="str">
        <x:v>The generated board contains exactly 37 unique hexes.</x:v>
      </x:c>
    </x:row>
    <x:row r="20" ht="42" customHeight="1">
      <x:c r="A20" s="13" t="str">
        <x:v>HEX-03</x:v>
      </x:c>
      <x:c r="B20" s="13" t="str">
        <x:v>M2 Hex Grid</x:v>
      </x:c>
      <x:c r="C20" s="13" t="str">
        <x:v>Board Presentation</x:v>
      </x:c>
      <x:c r="D20" s="14" t="str">
        <x:v>Convert axial coordinates to world positions and render selectable hex visuals.</x:v>
      </x:c>
      <x:c r="E20" s="16" t="str">
        <x:v>P0</x:v>
      </x:c>
      <x:c r="F20" s="16" t="str">
        <x:v>M</x:v>
      </x:c>
      <x:c r="G20" s="14" t="str">
        <x:v>HEX-02</x:v>
      </x:c>
      <x:c r="H20" s="14" t="str">
        <x:v>Combat Systems</x:v>
      </x:c>
      <x:c r="I20" s="15" t="str"/>
      <x:c r="J20" s="17" t="str">
        <x:v>Not Started</x:v>
      </x:c>
      <x:c r="K20" s="14" t="str">
        <x:v>Every logical hex has one correctly positioned visual and click target.</x:v>
      </x:c>
    </x:row>
    <x:row r="21" ht="42" customHeight="1">
      <x:c r="A21" s="13" t="str">
        <x:v>HEX-04</x:v>
      </x:c>
      <x:c r="B21" s="13" t="str">
        <x:v>M2 Hex Grid</x:v>
      </x:c>
      <x:c r="C21" s="13" t="str">
        <x:v>Movement</x:v>
      </x:c>
      <x:c r="D21" s="14" t="str">
        <x:v>Calculate reachable cells and display legal movement highlights.</x:v>
      </x:c>
      <x:c r="E21" s="16" t="str">
        <x:v>P0</x:v>
      </x:c>
      <x:c r="F21" s="16" t="str">
        <x:v>L</x:v>
      </x:c>
      <x:c r="G21" s="14" t="str">
        <x:v>HEX-01, HEX-03</x:v>
      </x:c>
      <x:c r="H21" s="14" t="str">
        <x:v>Combat Systems</x:v>
      </x:c>
      <x:c r="I21" s="15" t="str"/>
      <x:c r="J21" s="17" t="str">
        <x:v>Not Started</x:v>
      </x:c>
      <x:c r="K21" s="14" t="str">
        <x:v>A unit with movement 3 sees only legal unoccupied destinations within range.</x:v>
      </x:c>
    </x:row>
    <x:row r="22" ht="42" customHeight="1">
      <x:c r="A22" s="13" t="str">
        <x:v>HEX-05</x:v>
      </x:c>
      <x:c r="B22" s="13" t="str">
        <x:v>M2 Hex Grid</x:v>
      </x:c>
      <x:c r="C22" s="13" t="str">
        <x:v>Pathfinding</x:v>
      </x:c>
      <x:c r="D22" s="14" t="str">
        <x:v>Implement occupancy checks and shortest-path movement for the enemy.</x:v>
      </x:c>
      <x:c r="E22" s="16" t="str">
        <x:v>P0</x:v>
      </x:c>
      <x:c r="F22" s="16" t="str">
        <x:v>L</x:v>
      </x:c>
      <x:c r="G22" s="14" t="str">
        <x:v>HEX-04</x:v>
      </x:c>
      <x:c r="H22" s="14" t="str">
        <x:v>Combat Systems</x:v>
      </x:c>
      <x:c r="I22" s="15" t="str"/>
      <x:c r="J22" s="17" t="str">
        <x:v>Not Started</x:v>
      </x:c>
      <x:c r="K22" s="14" t="str">
        <x:v>The enemy reaches the closest legal hex without entering occupied or invalid cells.</x:v>
      </x:c>
    </x:row>
    <x:row r="23" ht="42" customHeight="1">
      <x:c r="A23" s="13" t="str">
        <x:v>COM-01</x:v>
      </x:c>
      <x:c r="B23" s="13" t="str">
        <x:v>M3 Combat</x:v>
      </x:c>
      <x:c r="C23" s="13" t="str">
        <x:v>Combat Flow</x:v>
      </x:c>
      <x:c r="D23" s="14" t="str">
        <x:v>Implement CombatController and explicit combat phases.</x:v>
      </x:c>
      <x:c r="E23" s="16" t="str">
        <x:v>P0</x:v>
      </x:c>
      <x:c r="F23" s="16" t="str">
        <x:v>L</x:v>
      </x:c>
      <x:c r="G23" s="14" t="str">
        <x:v>SET-04, HEX-02</x:v>
      </x:c>
      <x:c r="H23" s="14" t="str">
        <x:v>Combat Systems</x:v>
      </x:c>
      <x:c r="I23" s="15" t="str"/>
      <x:c r="J23" s="17" t="str">
        <x:v>Not Started</x:v>
      </x:c>
      <x:c r="K23" s="14" t="str">
        <x:v>Only valid phase transitions occur and one controller owns the active turn.</x:v>
      </x:c>
    </x:row>
    <x:row r="24" ht="42" customHeight="1">
      <x:c r="A24" s="13" t="str">
        <x:v>COM-02</x:v>
      </x:c>
      <x:c r="B24" s="13" t="str">
        <x:v>M3 Combat</x:v>
      </x:c>
      <x:c r="C24" s="13" t="str">
        <x:v>Initiative</x:v>
      </x:c>
      <x:c r="D24" s="14" t="str">
        <x:v>Implement D20 initiative with rerolls on ties.</x:v>
      </x:c>
      <x:c r="E24" s="16" t="str">
        <x:v>P0</x:v>
      </x:c>
      <x:c r="F24" s="16" t="str">
        <x:v>S</x:v>
      </x:c>
      <x:c r="G24" s="14" t="str">
        <x:v>COM-01</x:v>
      </x:c>
      <x:c r="H24" s="14" t="str">
        <x:v>Combat Systems</x:v>
      </x:c>
      <x:c r="I24" s="15" t="str"/>
      <x:c r="J24" s="17" t="str">
        <x:v>Not Started</x:v>
      </x:c>
      <x:c r="K24" s="14" t="str">
        <x:v>The higher roll acts first and a tied result never selects a winner.</x:v>
      </x:c>
    </x:row>
    <x:row r="25" ht="42" customHeight="1">
      <x:c r="A25" s="13" t="str">
        <x:v>COM-03</x:v>
      </x:c>
      <x:c r="B25" s="13" t="str">
        <x:v>M3 Combat</x:v>
      </x:c>
      <x:c r="C25" s="13" t="str">
        <x:v>Player Turn</x:v>
      </x:c>
      <x:c r="D25" s="14" t="str">
        <x:v>Implement player movement, skip movement, and action selection.</x:v>
      </x:c>
      <x:c r="E25" s="16" t="str">
        <x:v>P0</x:v>
      </x:c>
      <x:c r="F25" s="16" t="str">
        <x:v>L</x:v>
      </x:c>
      <x:c r="G25" s="14" t="str">
        <x:v>COM-01, HEX-04</x:v>
      </x:c>
      <x:c r="H25" s="14" t="str">
        <x:v>Combat Systems</x:v>
      </x:c>
      <x:c r="I25" s="15" t="str"/>
      <x:c r="J25" s="17" t="str">
        <x:v>Not Started</x:v>
      </x:c>
      <x:c r="K25" s="14" t="str">
        <x:v>The player receives one movement phase and one action, and invalid input consumes neither.</x:v>
      </x:c>
    </x:row>
    <x:row r="26" ht="42" customHeight="1">
      <x:c r="A26" s="13" t="str">
        <x:v>COM-04</x:v>
      </x:c>
      <x:c r="B26" s="13" t="str">
        <x:v>M3 Combat</x:v>
      </x:c>
      <x:c r="C26" s="13" t="str">
        <x:v>Attack Rules</x:v>
      </x:c>
      <x:c r="D26" s="14" t="str">
        <x:v>Implement attack rolls, Armor Class checks, damage dice, and HP changes.</x:v>
      </x:c>
      <x:c r="E26" s="16" t="str">
        <x:v>P0</x:v>
      </x:c>
      <x:c r="F26" s="16" t="str">
        <x:v>M</x:v>
      </x:c>
      <x:c r="G26" s="14" t="str">
        <x:v>COM-01, DATA-01</x:v>
      </x:c>
      <x:c r="H26" s="14" t="str">
        <x:v>Combat Systems</x:v>
      </x:c>
      <x:c r="I26" s="15" t="str"/>
      <x:c r="J26" s="17" t="str">
        <x:v>Not Started</x:v>
      </x:c>
      <x:c r="K26" s="14" t="str">
        <x:v>Hit, miss, damage, and zero-HP results match the approved formulas.</x:v>
      </x:c>
    </x:row>
    <x:row r="27" ht="42" customHeight="1">
      <x:c r="A27" s="13" t="str">
        <x:v>COM-05</x:v>
      </x:c>
      <x:c r="B27" s="13" t="str">
        <x:v>M3 Combat</x:v>
      </x:c>
      <x:c r="C27" s="13" t="str">
        <x:v>Potion Action</x:v>
      </x:c>
      <x:c r="D27" s="14" t="str">
        <x:v>Implement potion use during combat and outside combat.</x:v>
      </x:c>
      <x:c r="E27" s="16" t="str">
        <x:v>P1</x:v>
      </x:c>
      <x:c r="F27" s="16" t="str">
        <x:v>M</x:v>
      </x:c>
      <x:c r="G27" s="14" t="str">
        <x:v>COM-03, SET-04</x:v>
      </x:c>
      <x:c r="H27" s="14" t="str">
        <x:v>Systems</x:v>
      </x:c>
      <x:c r="I27" s="15" t="str"/>
      <x:c r="J27" s="17" t="str">
        <x:v>Not Started</x:v>
      </x:c>
      <x:c r="K27" s="14" t="str">
        <x:v>A potion heals up to 20 HP, never exceeds maximum HP, and consumes a combat action.</x:v>
      </x:c>
    </x:row>
    <x:row r="28" ht="42" customHeight="1">
      <x:c r="A28" s="13" t="str">
        <x:v>COM-06</x:v>
      </x:c>
      <x:c r="B28" s="13" t="str">
        <x:v>M3 Combat</x:v>
      </x:c>
      <x:c r="C28" s="13" t="str">
        <x:v>Enemy Turn</x:v>
      </x:c>
      <x:c r="D28" s="14" t="str">
        <x:v>Implement enemy range checks, movement, and attack behavior.</x:v>
      </x:c>
      <x:c r="E28" s="16" t="str">
        <x:v>P0</x:v>
      </x:c>
      <x:c r="F28" s="16" t="str">
        <x:v>L</x:v>
      </x:c>
      <x:c r="G28" s="14" t="str">
        <x:v>COM-01, COM-04, HEX-05</x:v>
      </x:c>
      <x:c r="H28" s="14" t="str">
        <x:v>Combat Systems</x:v>
      </x:c>
      <x:c r="I28" s="15" t="str"/>
      <x:c r="J28" s="17" t="str">
        <x:v>Not Started</x:v>
      </x:c>
      <x:c r="K28" s="14" t="str">
        <x:v>The enemy attacks in range or moves toward the player and attacks when newly in range.</x:v>
      </x:c>
    </x:row>
    <x:row r="29" ht="42" customHeight="1">
      <x:c r="A29" s="13" t="str">
        <x:v>COM-07</x:v>
      </x:c>
      <x:c r="B29" s="13" t="str">
        <x:v>M3 Combat</x:v>
      </x:c>
      <x:c r="C29" s="13" t="str">
        <x:v>Combat Results</x:v>
      </x:c>
      <x:c r="D29" s="14" t="str">
        <x:v>Implement victory, defeat, normal rewards, and boss completion transitions.</x:v>
      </x:c>
      <x:c r="E29" s="16" t="str">
        <x:v>P0</x:v>
      </x:c>
      <x:c r="F29" s="16" t="str">
        <x:v>M</x:v>
      </x:c>
      <x:c r="G29" s="14" t="str">
        <x:v>COM-04, COM-06</x:v>
      </x:c>
      <x:c r="H29" s="14" t="str">
        <x:v>Systems</x:v>
      </x:c>
      <x:c r="I29" s="15" t="str"/>
      <x:c r="J29" s="17" t="str">
        <x:v>Not Started</x:v>
      </x:c>
      <x:c r="K29" s="14" t="str">
        <x:v>Combat ends exactly once and opens the correct result, defeat, or completion state.</x:v>
      </x:c>
    </x:row>
    <x:row r="30" ht="42" customHeight="1">
      <x:c r="A30" s="13" t="str">
        <x:v>COM-08</x:v>
      </x:c>
      <x:c r="B30" s="13" t="str">
        <x:v>M3 Combat</x:v>
      </x:c>
      <x:c r="C30" s="13" t="str">
        <x:v>Retry</x:v>
      </x:c>
      <x:c r="D30" s="14" t="str">
        <x:v>Capture and restore the complete pre-combat retry snapshot.</x:v>
      </x:c>
      <x:c r="E30" s="16" t="str">
        <x:v>P0</x:v>
      </x:c>
      <x:c r="F30" s="16" t="str">
        <x:v>M</x:v>
      </x:c>
      <x:c r="G30" s="14" t="str">
        <x:v>SET-04, COM-07</x:v>
      </x:c>
      <x:c r="H30" s="14" t="str">
        <x:v>Systems</x:v>
      </x:c>
      <x:c r="I30" s="15" t="str"/>
      <x:c r="J30" s="17" t="str">
        <x:v>Not Started</x:v>
      </x:c>
      <x:c r="K30" s="14" t="str">
        <x:v>Retry restores HP, maximum HP, EXP, gold, potions, weapon, and stage state.</x:v>
      </x:c>
    </x:row>
    <x:row r="31" ht="42" customHeight="1">
      <x:c r="A31" s="13" t="str">
        <x:v>COM-09</x:v>
      </x:c>
      <x:c r="B31" s="13" t="str">
        <x:v>M3 Combat</x:v>
      </x:c>
      <x:c r="C31" s="13" t="str">
        <x:v>Combat UI</x:v>
      </x:c>
      <x:c r="D31" s="14" t="str">
        <x:v>Build the combat HUD, turn indicator, highlights, action controls, and combat log.</x:v>
      </x:c>
      <x:c r="E31" s="16" t="str">
        <x:v>P0</x:v>
      </x:c>
      <x:c r="F31" s="16" t="str">
        <x:v>L</x:v>
      </x:c>
      <x:c r="G31" s="14" t="str">
        <x:v>COM-03, COM-04, COM-06</x:v>
      </x:c>
      <x:c r="H31" s="14" t="str">
        <x:v>UI</x:v>
      </x:c>
      <x:c r="I31" s="15" t="str"/>
      <x:c r="J31" s="17" t="str">
        <x:v>Not Started</x:v>
      </x:c>
      <x:c r="K31" s="14" t="str">
        <x:v>The player can identify the active turn, legal actions, unit stats, and every roll result.</x:v>
      </x:c>
    </x:row>
    <x:row r="32" ht="42" customHeight="1">
      <x:c r="A32" s="13" t="str">
        <x:v>NODE-01</x:v>
      </x:c>
      <x:c r="B32" s="13" t="str">
        <x:v>M4 Meta Nodes</x:v>
      </x:c>
      <x:c r="C32" s="13" t="str">
        <x:v>Shop</x:v>
      </x:c>
      <x:c r="D32" s="14" t="str">
        <x:v>Implement potion and weapon purchases with price and purchase limits.</x:v>
      </x:c>
      <x:c r="E32" s="16" t="str">
        <x:v>P0</x:v>
      </x:c>
      <x:c r="F32" s="16" t="str">
        <x:v>M</x:v>
      </x:c>
      <x:c r="G32" s="14" t="str">
        <x:v>FLOW-02, DATA-01</x:v>
      </x:c>
      <x:c r="H32" s="14" t="str">
        <x:v>UI and Systems</x:v>
      </x:c>
      <x:c r="I32" s="15" t="str"/>
      <x:c r="J32" s="17" t="str">
        <x:v>Not Started</x:v>
      </x:c>
      <x:c r="K32" s="14" t="str">
        <x:v>Purchases enforce gold costs, per-visit limits, and weapon replacement.</x:v>
      </x:c>
    </x:row>
    <x:row r="33" ht="42" customHeight="1">
      <x:c r="A33" s="13" t="str">
        <x:v>NODE-02</x:v>
      </x:c>
      <x:c r="B33" s="13" t="str">
        <x:v>M4 Meta Nodes</x:v>
      </x:c>
      <x:c r="C33" s="13" t="str">
        <x:v>Reward</x:v>
      </x:c>
      <x:c r="D33" s="14" t="str">
        <x:v>Implement the 50 percent potion or weapon reward node.</x:v>
      </x:c>
      <x:c r="E33" s="16" t="str">
        <x:v>P0</x:v>
      </x:c>
      <x:c r="F33" s="16" t="str">
        <x:v>S</x:v>
      </x:c>
      <x:c r="G33" s="14" t="str">
        <x:v>FLOW-02, DATA-01</x:v>
      </x:c>
      <x:c r="H33" s="14" t="str">
        <x:v>Systems</x:v>
      </x:c>
      <x:c r="I33" s="15" t="str"/>
      <x:c r="J33" s="17" t="str">
        <x:v>Not Started</x:v>
      </x:c>
      <x:c r="K33" s="14" t="str">
        <x:v>The node grants exactly one valid reward and applies weapon replacement correctly.</x:v>
      </x:c>
    </x:row>
    <x:row r="34" ht="42" customHeight="1">
      <x:c r="A34" s="13" t="str">
        <x:v>NODE-03</x:v>
      </x:c>
      <x:c r="B34" s="13" t="str">
        <x:v>M4 Meta Nodes</x:v>
      </x:c>
      <x:c r="C34" s="13" t="str">
        <x:v>Event</x:v>
      </x:c>
      <x:c r="D34" s="14" t="str">
        <x:v>Implement Event 1 choices and Constitution check.</x:v>
      </x:c>
      <x:c r="E34" s="16" t="str">
        <x:v>P0</x:v>
      </x:c>
      <x:c r="F34" s="16" t="str">
        <x:v>M</x:v>
      </x:c>
      <x:c r="G34" s="14" t="str">
        <x:v>FLOW-02, DATA-02</x:v>
      </x:c>
      <x:c r="H34" s="14" t="str">
        <x:v>UI and Systems</x:v>
      </x:c>
      <x:c r="I34" s="15" t="str"/>
      <x:c r="J34" s="17" t="str">
        <x:v>Not Started</x:v>
      </x:c>
      <x:c r="K34" s="14" t="str">
        <x:v>All three Event 1 choices apply the approved costs, check, rewards, and damage.</x:v>
      </x:c>
    </x:row>
    <x:row r="35" ht="42" customHeight="1">
      <x:c r="A35" s="13" t="str">
        <x:v>NODE-04</x:v>
      </x:c>
      <x:c r="B35" s="13" t="str">
        <x:v>M4 Meta Nodes</x:v>
      </x:c>
      <x:c r="C35" s="13" t="str">
        <x:v>Event</x:v>
      </x:c>
      <x:c r="D35" s="14" t="str">
        <x:v>Implement Event 2 choices and Strength check.</x:v>
      </x:c>
      <x:c r="E35" s="16" t="str">
        <x:v>P0</x:v>
      </x:c>
      <x:c r="F35" s="16" t="str">
        <x:v>M</x:v>
      </x:c>
      <x:c r="G35" s="14" t="str">
        <x:v>FLOW-02, DATA-02</x:v>
      </x:c>
      <x:c r="H35" s="14" t="str">
        <x:v>UI and Systems</x:v>
      </x:c>
      <x:c r="I35" s="15" t="str"/>
      <x:c r="J35" s="17" t="str">
        <x:v>Not Started</x:v>
      </x:c>
      <x:c r="K35" s="14" t="str">
        <x:v>All three Event 2 choices apply the approved weapon, HP, maximum HP, and gold results.</x:v>
      </x:c>
    </x:row>
    <x:row r="36" ht="42" customHeight="1">
      <x:c r="A36" s="13" t="str">
        <x:v>PROG-01</x:v>
      </x:c>
      <x:c r="B36" s="13" t="str">
        <x:v>M4 Meta Nodes</x:v>
      </x:c>
      <x:c r="C36" s="13" t="str">
        <x:v>Progression</x:v>
      </x:c>
      <x:c r="D36" s="14" t="str">
        <x:v>Implement EXP gain and leveling without healing current HP.</x:v>
      </x:c>
      <x:c r="E36" s="16" t="str">
        <x:v>P0</x:v>
      </x:c>
      <x:c r="F36" s="16" t="str">
        <x:v>S</x:v>
      </x:c>
      <x:c r="G36" s="14" t="str">
        <x:v>SET-04, COM-07</x:v>
      </x:c>
      <x:c r="H36" s="14" t="str">
        <x:v>Systems</x:v>
      </x:c>
      <x:c r="I36" s="15" t="str"/>
      <x:c r="J36" s="17" t="str">
        <x:v>Not Started</x:v>
      </x:c>
      <x:c r="K36" s="14" t="str">
        <x:v>Every 10 EXP increases maximum HP by 5 and preserves current HP.</x:v>
      </x:c>
    </x:row>
    <x:row r="37" ht="42" customHeight="1">
      <x:c r="A37" s="13" t="str">
        <x:v>PROG-02</x:v>
      </x:c>
      <x:c r="B37" s="13" t="str">
        <x:v>M4 Meta Nodes</x:v>
      </x:c>
      <x:c r="C37" s="13" t="str">
        <x:v>Weapons</x:v>
      </x:c>
      <x:c r="D37" s="14" t="str">
        <x:v>Implement accuracy and damage weapon effects with replacement behavior.</x:v>
      </x:c>
      <x:c r="E37" s="16" t="str">
        <x:v>P0</x:v>
      </x:c>
      <x:c r="F37" s="16" t="str">
        <x:v>M</x:v>
      </x:c>
      <x:c r="G37" s="14" t="str">
        <x:v>DATA-01, COM-04</x:v>
      </x:c>
      <x:c r="H37" s="14" t="str">
        <x:v>Systems</x:v>
      </x:c>
      <x:c r="I37" s="15" t="str"/>
      <x:c r="J37" s="17" t="str">
        <x:v>Not Started</x:v>
      </x:c>
      <x:c r="K37" s="14" t="str">
        <x:v>Accuracy produces a total +4 attack bonus and damage changes from 1D10 to 2D10.</x:v>
      </x:c>
    </x:row>
    <x:row r="38" ht="42" customHeight="1">
      <x:c r="A38" s="13" t="str">
        <x:v>PROG-03</x:v>
      </x:c>
      <x:c r="B38" s="13" t="str">
        <x:v>M4 Meta Nodes</x:v>
      </x:c>
      <x:c r="C38" s="13" t="str">
        <x:v>Rewards</x:v>
      </x:c>
      <x:c r="D38" s="14" t="str">
        <x:v>Implement 5 gold, 5 EXP, and 25 percent potion combat rewards.</x:v>
      </x:c>
      <x:c r="E38" s="16" t="str">
        <x:v>P0</x:v>
      </x:c>
      <x:c r="F38" s="16" t="str">
        <x:v>S</x:v>
      </x:c>
      <x:c r="G38" s="14" t="str">
        <x:v>COM-07, PROG-01</x:v>
      </x:c>
      <x:c r="H38" s="14" t="str">
        <x:v>Systems</x:v>
      </x:c>
      <x:c r="I38" s="15" t="str"/>
      <x:c r="J38" s="17" t="str">
        <x:v>Not Started</x:v>
      </x:c>
      <x:c r="K38" s="14" t="str">
        <x:v>Normal victory applies each reward exactly once and displays the actual result.</x:v>
      </x:c>
    </x:row>
    <x:row r="39" ht="42" customHeight="1">
      <x:c r="A39" s="13" t="str">
        <x:v>BOSS-01</x:v>
      </x:c>
      <x:c r="B39" s="13" t="str">
        <x:v>M5 Integration and QA</x:v>
      </x:c>
      <x:c r="C39" s="13" t="str">
        <x:v>Boss</x:v>
      </x:c>
      <x:c r="D39" s="14" t="str">
        <x:v>Configure Stage 1-5 boss statistics and boss-specific completion behavior.</x:v>
      </x:c>
      <x:c r="E39" s="16" t="str">
        <x:v>P0</x:v>
      </x:c>
      <x:c r="F39" s="16" t="str">
        <x:v>S</x:v>
      </x:c>
      <x:c r="G39" s="14" t="str">
        <x:v>COM-07, DATA-02</x:v>
      </x:c>
      <x:c r="H39" s="14" t="str">
        <x:v>Combat Systems</x:v>
      </x:c>
      <x:c r="I39" s="15" t="str"/>
      <x:c r="J39" s="17" t="str">
        <x:v>Not Started</x:v>
      </x:c>
      <x:c r="K39" s="14" t="str">
        <x:v>The boss uses 80 HP, AC 7, +2 attack, 2D4 damage, and opens RunComplete on victory.</x:v>
      </x:c>
    </x:row>
    <x:row r="40" ht="42" customHeight="1">
      <x:c r="A40" s="13" t="str">
        <x:v>UI-01</x:v>
      </x:c>
      <x:c r="B40" s="13" t="str">
        <x:v>M5 Integration and QA</x:v>
      </x:c>
      <x:c r="C40" s="13" t="str">
        <x:v>Menu UI</x:v>
      </x:c>
      <x:c r="D40" s="14" t="str">
        <x:v>Build the main menu and Start Game action.</x:v>
      </x:c>
      <x:c r="E40" s="16" t="str">
        <x:v>P0</x:v>
      </x:c>
      <x:c r="F40" s="16" t="str">
        <x:v>S</x:v>
      </x:c>
      <x:c r="G40" s="14" t="str">
        <x:v>SET-03, FLOW-03</x:v>
      </x:c>
      <x:c r="H40" s="14" t="str">
        <x:v>UI</x:v>
      </x:c>
      <x:c r="I40" s="15" t="str"/>
      <x:c r="J40" s="17" t="str">
        <x:v>Not Started</x:v>
      </x:c>
      <x:c r="K40" s="14" t="str">
        <x:v>Start Game initializes a clean run and opens Stage 1-1.</x:v>
      </x:c>
    </x:row>
    <x:row r="41" ht="42" customHeight="1">
      <x:c r="A41" s="13" t="str">
        <x:v>UI-02</x:v>
      </x:c>
      <x:c r="B41" s="13" t="str">
        <x:v>M5 Integration and QA</x:v>
      </x:c>
      <x:c r="C41" s="13" t="str">
        <x:v>Result UI</x:v>
      </x:c>
      <x:c r="D41" s="14" t="str">
        <x:v>Build normal result, defeat, and retry panels.</x:v>
      </x:c>
      <x:c r="E41" s="16" t="str">
        <x:v>P0</x:v>
      </x:c>
      <x:c r="F41" s="16" t="str">
        <x:v>M</x:v>
      </x:c>
      <x:c r="G41" s="14" t="str">
        <x:v>COM-07, COM-08</x:v>
      </x:c>
      <x:c r="H41" s="14" t="str">
        <x:v>UI</x:v>
      </x:c>
      <x:c r="I41" s="15" t="str"/>
      <x:c r="J41" s="17" t="str">
        <x:v>Not Started</x:v>
      </x:c>
      <x:c r="K41" s="14" t="str">
        <x:v>Each panel shows the correct information and exposes only valid actions.</x:v>
      </x:c>
    </x:row>
    <x:row r="42" ht="42" customHeight="1">
      <x:c r="A42" s="13" t="str">
        <x:v>UI-03</x:v>
      </x:c>
      <x:c r="B42" s="13" t="str">
        <x:v>M5 Integration and QA</x:v>
      </x:c>
      <x:c r="C42" s="13" t="str">
        <x:v>Completion UI</x:v>
      </x:c>
      <x:c r="D42" s="14" t="str">
        <x:v>Build the run-complete screen and return-to-menu action.</x:v>
      </x:c>
      <x:c r="E42" s="16" t="str">
        <x:v>P0</x:v>
      </x:c>
      <x:c r="F42" s="16" t="str">
        <x:v>S</x:v>
      </x:c>
      <x:c r="G42" s="14" t="str">
        <x:v>BOSS-01, FLOW-03</x:v>
      </x:c>
      <x:c r="H42" s="14" t="str">
        <x:v>UI</x:v>
      </x:c>
      <x:c r="I42" s="15" t="str"/>
      <x:c r="J42" s="17" t="str">
        <x:v>Not Started</x:v>
      </x:c>
      <x:c r="K42" s="14" t="str">
        <x:v>Boss victory opens the screen and returning to the menu clears the run.</x:v>
      </x:c>
    </x:row>
    <x:row r="43" ht="42" customHeight="1">
      <x:c r="A43" s="13" t="str">
        <x:v>QA-01</x:v>
      </x:c>
      <x:c r="B43" s="13" t="str">
        <x:v>M5 Integration and QA</x:v>
      </x:c>
      <x:c r="C43" s="13" t="str">
        <x:v>EditMode Tests</x:v>
      </x:c>
      <x:c r="D43" s="14" t="str">
        <x:v>Add tests for hex generation, neighbors, distance, movement range, and pathfinding.</x:v>
      </x:c>
      <x:c r="E43" s="16" t="str">
        <x:v>P1</x:v>
      </x:c>
      <x:c r="F43" s="16" t="str">
        <x:v>M</x:v>
      </x:c>
      <x:c r="G43" s="14" t="str">
        <x:v>HEX-05</x:v>
      </x:c>
      <x:c r="H43" s="14" t="str">
        <x:v>QA</x:v>
      </x:c>
      <x:c r="I43" s="15" t="str"/>
      <x:c r="J43" s="17" t="str">
        <x:v>Not Started</x:v>
      </x:c>
      <x:c r="K43" s="14" t="str">
        <x:v>The grid test suite covers the 37-cell board and representative edge cases.</x:v>
      </x:c>
    </x:row>
    <x:row r="44" ht="42" customHeight="1">
      <x:c r="A44" s="13" t="str">
        <x:v>QA-02</x:v>
      </x:c>
      <x:c r="B44" s="13" t="str">
        <x:v>M5 Integration and QA</x:v>
      </x:c>
      <x:c r="C44" s="13" t="str">
        <x:v>EditMode Tests</x:v>
      </x:c>
      <x:c r="D44" s="14" t="str">
        <x:v>Add tests for stage rules, dice rules, rewards, leveling, events, and retry snapshots.</x:v>
      </x:c>
      <x:c r="E44" s="16" t="str">
        <x:v>P1</x:v>
      </x:c>
      <x:c r="F44" s="16" t="str">
        <x:v>L</x:v>
      </x:c>
      <x:c r="G44" s="14" t="str">
        <x:v>FLOW-01, COM-08, NODE-04, PROG-03</x:v>
      </x:c>
      <x:c r="H44" s="14" t="str">
        <x:v>QA</x:v>
      </x:c>
      <x:c r="I44" s="15" t="str"/>
      <x:c r="J44" s="17" t="str">
        <x:v>Not Started</x:v>
      </x:c>
      <x:c r="K44" s="14" t="str">
        <x:v>Tests cover every approved rule and fail when a boundary condition is intentionally broken.</x:v>
      </x:c>
    </x:row>
    <x:row r="45" ht="42" customHeight="1">
      <x:c r="A45" s="13" t="str">
        <x:v>QA-03</x:v>
      </x:c>
      <x:c r="B45" s="13" t="str">
        <x:v>M5 Integration and QA</x:v>
      </x:c>
      <x:c r="C45" s="13" t="str">
        <x:v>PlayMode Tests</x:v>
      </x:c>
      <x:c r="D45" s="14" t="str">
        <x:v>Add smoke tests for new run, combat return, boss completion, and run reset.</x:v>
      </x:c>
      <x:c r="E45" s="16" t="str">
        <x:v>P1</x:v>
      </x:c>
      <x:c r="F45" s="16" t="str">
        <x:v>L</x:v>
      </x:c>
      <x:c r="G45" s="14" t="str">
        <x:v>UI-03, QA-02</x:v>
      </x:c>
      <x:c r="H45" s="14" t="str">
        <x:v>QA</x:v>
      </x:c>
      <x:c r="I45" s="15" t="str"/>
      <x:c r="J45" s="17" t="str">
        <x:v>Not Started</x:v>
      </x:c>
      <x:c r="K45" s="14" t="str">
        <x:v>The critical scene flow completes without exceptions in PlayMode tests.</x:v>
      </x:c>
    </x:row>
    <x:row r="46" ht="42" customHeight="1">
      <x:c r="A46" s="13" t="str">
        <x:v>QA-04</x:v>
      </x:c>
      <x:c r="B46" s="13" t="str">
        <x:v>M5 Integration and QA</x:v>
      </x:c>
      <x:c r="C46" s="13" t="str">
        <x:v>Acceptance Test</x:v>
      </x:c>
      <x:c r="D46" s="14" t="str">
        <x:v>Run the complete MVP acceptance checklist and record defects.</x:v>
      </x:c>
      <x:c r="E46" s="16" t="str">
        <x:v>P0</x:v>
      </x:c>
      <x:c r="F46" s="16" t="str">
        <x:v>L</x:v>
      </x:c>
      <x:c r="G46" s="14" t="str">
        <x:v>QA-01, QA-03</x:v>
      </x:c>
      <x:c r="H46" s="14" t="str">
        <x:v>Whole Team</x:v>
      </x:c>
      <x:c r="I46" s="15" t="str"/>
      <x:c r="J46" s="17" t="str">
        <x:v>Not Started</x:v>
      </x:c>
      <x:c r="K46" s="14" t="str">
        <x:v>All specification acceptance criteria pass or have documented blocking defects.</x:v>
      </x:c>
    </x:row>
    <x:row r="47" ht="42" customHeight="1">
      <x:c r="A47" s="13" t="str">
        <x:v>DOC-01</x:v>
      </x:c>
      <x:c r="B47" s="13" t="str">
        <x:v>M5 Integration and QA</x:v>
      </x:c>
      <x:c r="C47" s="13" t="str">
        <x:v>Documentation</x:v>
      </x:c>
      <x:c r="D47" s="14" t="str">
        <x:v>Update team documents and diagrams after implementation decisions change.</x:v>
      </x:c>
      <x:c r="E47" s="16" t="str">
        <x:v>P1</x:v>
      </x:c>
      <x:c r="F47" s="16" t="str">
        <x:v>S</x:v>
      </x:c>
      <x:c r="G47" s="14" t="str">
        <x:v>QA-04</x:v>
      </x:c>
      <x:c r="H47" s="14" t="str">
        <x:v>Tech Lead</x:v>
      </x:c>
      <x:c r="I47" s="15" t="str"/>
      <x:c r="J47" s="17" t="str">
        <x:v>Not Started</x:v>
      </x:c>
      <x:c r="K47" s="14" t="str">
        <x:v>The specification, architecture, diagrams, and backlog match the delivered build.</x:v>
      </x:c>
    </x:row>
  </x:sheetData>
  <x:conditionalFormatting sqref="J8:J47">
    <x:cfRule type="containsText" dxfId="0" priority="1" operator="containsText" text="Done"/>
    <x:cfRule type="containsText" dxfId="1" priority="2" operator="containsText" text="Blocked"/>
    <x:cfRule type="containsText" dxfId="2" priority="3" operator="containsText" text="In Progress"/>
    <x:cfRule type="containsText" dxfId="3" priority="4" operator="containsText" text="Review"/>
  </x:conditionalFormatting>
  <x:conditionalFormatting sqref="E8:E47">
    <x:cfRule type="containsText" dxfId="4" priority="5" operator="containsText" text="P0"/>
    <x:cfRule type="containsText" dxfId="5" priority="6" operator="containsText" text="P1"/>
  </x:conditionalFormatting>
  <x:dataValidations count="3">
    <x:dataValidation type="list" sqref="E8:E47">
      <x:formula1>"P0,P1,P2"</x:formula1>
    </x:dataValidation>
    <x:dataValidation type="list" sqref="F8:F47">
      <x:formula1>"S,M,L"</x:formula1>
    </x:dataValidation>
    <x:dataValidation type="list" sqref="J8:J47">
      <x:formula1>"Not Started,In Progress,Blocked,Review,Done"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8916301c784470"/>
  </x:tableParts>
</x:worksheet>
</file>